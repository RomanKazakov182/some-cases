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zak\Downloads\Аналитик данных обучение\1 Дипломная работа\"/>
    </mc:Choice>
  </mc:AlternateContent>
  <xr:revisionPtr revIDLastSave="0" documentId="13_ncr:1_{1042ABB6-B296-4A49-AD5E-29C130BB308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Итог" sheetId="4" r:id="rId1"/>
    <sheet name="positive" sheetId="1" r:id="rId2"/>
    <sheet name="negative" sheetId="2" r:id="rId3"/>
    <sheet name="neutra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O3" i="2"/>
  <c r="O4" i="2"/>
  <c r="O2" i="2"/>
  <c r="O5" i="2" s="1"/>
  <c r="E8" i="4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  <c r="O33" i="3" l="1"/>
  <c r="E10" i="4" s="1"/>
  <c r="O19" i="1"/>
  <c r="E7" i="4" s="1"/>
  <c r="E9" i="4" s="1"/>
</calcChain>
</file>

<file path=xl/sharedStrings.xml><?xml version="1.0" encoding="utf-8"?>
<sst xmlns="http://schemas.openxmlformats.org/spreadsheetml/2006/main" count="159" uniqueCount="46">
  <si>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</si>
  <si>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</si>
  <si>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</si>
  <si>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</si>
  <si>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</si>
  <si>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</si>
  <si>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</si>
  <si>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</si>
  <si>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</si>
  <si>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</si>
  <si>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</si>
  <si>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</si>
  <si>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</si>
  <si>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exp_flag</t>
  </si>
  <si>
    <t>Санкт-Петербург</t>
  </si>
  <si>
    <t>positive</t>
  </si>
  <si>
    <t>Москва</t>
  </si>
  <si>
    <t>Владимир</t>
  </si>
  <si>
    <t>Самара</t>
  </si>
  <si>
    <t>Казань</t>
  </si>
  <si>
    <t>Волгоград</t>
  </si>
  <si>
    <t>negative</t>
  </si>
  <si>
    <t>Краснодар</t>
  </si>
  <si>
    <t>neutral</t>
  </si>
  <si>
    <t>Саратов</t>
  </si>
  <si>
    <t>Тольятти</t>
  </si>
  <si>
    <t>Мурманск</t>
  </si>
  <si>
    <t>Красноярск</t>
  </si>
  <si>
    <t>Сочи</t>
  </si>
  <si>
    <t>Дмитров</t>
  </si>
  <si>
    <t>Тюмень</t>
  </si>
  <si>
    <t>Сахалинск</t>
  </si>
  <si>
    <t>Вводные данные</t>
  </si>
  <si>
    <t>N</t>
  </si>
  <si>
    <t>MDE</t>
  </si>
  <si>
    <t>Итоговые результаты</t>
  </si>
  <si>
    <t>Положительный исход</t>
  </si>
  <si>
    <t>Отрицательный исход</t>
  </si>
  <si>
    <t>Баланс</t>
  </si>
  <si>
    <t>Кол-во наблюдений</t>
  </si>
  <si>
    <t>Прирост выручки</t>
  </si>
  <si>
    <t>Падение выручки</t>
  </si>
  <si>
    <t>вцелом, на основании данных по торговым точкам, где мы наблюдаем статистически значимую разницу между "тестовой" и контрольной группами, можно сделать вывод об обоснованности смены маркетинговой механики,  уведомления об акциях и скидках в форме пуш-уведомления являются более эффективными и в тестовых группах средний чек с покупки вырос</t>
  </si>
  <si>
    <t>в данных торговых точках наблюдаем положительную статистически значимую разницу в среднем чеке с покупки в тестовой группе</t>
  </si>
  <si>
    <t>в данных торговых точках наблюдаем отрицательную статистически значимую разницу в среднем чеке с покупки в тестовой группе</t>
  </si>
  <si>
    <t xml:space="preserve">для обнаружения статистически значимой разницы в средних чеках с покупки по указанным торговым точкам тестирование можно продолжить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</si>
</sst>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0" fontId="1" fillId="0" borderId="5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C3AB-8CF9-469D-8C71-2D61A2B5975E}">
  <dimension ref="B3:Q10"/>
  <sheetViews>
    <sheetView tabSelected="1" workbookViewId="0">
      <selection activeCell="H3" sqref="H3:Q8"/>
    </sheetView>
  </sheetViews>
  <sheetFormatPr defaultRowHeight="18.75" x14ac:dyDescent="0.3"/>
  <cols>
    <col min="1" max="4" width="9.140625" style="2"/>
    <col min="5" max="5" width="18.28515625" style="2" customWidth="1"/>
    <col min="6" max="16384" width="9.140625" style="2"/>
  </cols>
  <sheetData>
    <row r="3" spans="2:17" x14ac:dyDescent="0.3">
      <c r="B3" s="12" t="s">
        <v>32</v>
      </c>
      <c r="C3" s="13"/>
      <c r="D3" s="13"/>
      <c r="E3" s="14"/>
      <c r="F3" s="3"/>
      <c r="H3" s="15" t="s">
        <v>42</v>
      </c>
      <c r="I3" s="15"/>
      <c r="J3" s="15"/>
      <c r="K3" s="15"/>
      <c r="L3" s="15"/>
      <c r="M3" s="15"/>
      <c r="N3" s="15"/>
      <c r="O3" s="15"/>
      <c r="P3" s="15"/>
      <c r="Q3" s="15"/>
    </row>
    <row r="4" spans="2:17" x14ac:dyDescent="0.3">
      <c r="B4" s="9" t="s">
        <v>33</v>
      </c>
      <c r="C4" s="10"/>
      <c r="D4" s="11"/>
      <c r="E4" s="6">
        <v>1000</v>
      </c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2:17" x14ac:dyDescent="0.3">
      <c r="B5" s="9" t="s">
        <v>34</v>
      </c>
      <c r="C5" s="10"/>
      <c r="D5" s="11"/>
      <c r="E5" s="7">
        <v>1000</v>
      </c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2:17" x14ac:dyDescent="0.3">
      <c r="B6" s="12" t="s">
        <v>35</v>
      </c>
      <c r="C6" s="13"/>
      <c r="D6" s="13"/>
      <c r="E6" s="14"/>
      <c r="F6" s="3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2:17" x14ac:dyDescent="0.3">
      <c r="B7" s="4" t="s">
        <v>36</v>
      </c>
      <c r="C7" s="5"/>
      <c r="D7" s="5"/>
      <c r="E7" s="7">
        <f>positive!$O$19</f>
        <v>263633.19716959359</v>
      </c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2:17" x14ac:dyDescent="0.3">
      <c r="B8" s="4" t="s">
        <v>37</v>
      </c>
      <c r="C8" s="5"/>
      <c r="D8" s="5"/>
      <c r="E8" s="7">
        <f>negative!$O$5</f>
        <v>-25613.743891356229</v>
      </c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2:17" x14ac:dyDescent="0.3">
      <c r="B9" s="9" t="s">
        <v>38</v>
      </c>
      <c r="C9" s="10"/>
      <c r="D9" s="11"/>
      <c r="E9" s="7">
        <f>E7+E8</f>
        <v>238019.45327823737</v>
      </c>
    </row>
    <row r="10" spans="2:17" x14ac:dyDescent="0.3">
      <c r="B10" s="4" t="s">
        <v>39</v>
      </c>
      <c r="C10" s="5"/>
      <c r="D10" s="5"/>
      <c r="E10" s="6">
        <f>neutral!$O$33</f>
        <v>4223.9746927392971</v>
      </c>
    </row>
  </sheetData>
  <mergeCells count="6">
    <mergeCell ref="H3:Q8"/>
    <mergeCell ref="B9:D9"/>
    <mergeCell ref="B3:E3"/>
    <mergeCell ref="B6:E6"/>
    <mergeCell ref="B4:D4"/>
    <mergeCell ref="B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A21" sqref="A21:C25"/>
    </sheetView>
  </sheetViews>
  <sheetFormatPr defaultRowHeight="15" x14ac:dyDescent="0.25"/>
  <cols>
    <col min="1" max="1" width="16.570312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9" max="10" width="12" bestFit="1" customWidth="1"/>
    <col min="11" max="11" width="13.5703125" bestFit="1" customWidth="1"/>
    <col min="12" max="12" width="12" bestFit="1" customWidth="1"/>
    <col min="13" max="13" width="12.140625" bestFit="1" customWidth="1"/>
    <col min="14" max="14" width="8.5703125" bestFit="1" customWidth="1"/>
    <col min="15" max="15" width="17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40</v>
      </c>
    </row>
    <row r="2" spans="1:15" x14ac:dyDescent="0.25">
      <c r="A2" t="s">
        <v>14</v>
      </c>
      <c r="B2">
        <v>453</v>
      </c>
      <c r="C2">
        <v>1066</v>
      </c>
      <c r="D2">
        <v>1049</v>
      </c>
      <c r="E2">
        <v>2115</v>
      </c>
      <c r="F2">
        <v>4.6670197272606906</v>
      </c>
      <c r="G2">
        <v>2501.9662288930581</v>
      </c>
      <c r="H2">
        <v>1889.9237368922779</v>
      </c>
      <c r="I2">
        <v>612.0424920007797</v>
      </c>
      <c r="J2">
        <v>2993.4425401386588</v>
      </c>
      <c r="K2">
        <v>2648.6593032825899</v>
      </c>
      <c r="L2">
        <v>4.976910182958596</v>
      </c>
      <c r="M2">
        <v>6.9832069012744641E-7</v>
      </c>
      <c r="N2" t="s">
        <v>15</v>
      </c>
      <c r="O2">
        <f>Итог!$E$4*(positive!$F2/100)*positive!$I2</f>
        <v>28564.143840894321</v>
      </c>
    </row>
    <row r="3" spans="1:15" x14ac:dyDescent="0.25">
      <c r="A3" t="s">
        <v>16</v>
      </c>
      <c r="B3">
        <v>2652</v>
      </c>
      <c r="C3">
        <v>2273</v>
      </c>
      <c r="D3">
        <v>2370</v>
      </c>
      <c r="E3">
        <v>4643</v>
      </c>
      <c r="F3">
        <v>10.24537711284699</v>
      </c>
      <c r="G3">
        <v>2506.6168059832821</v>
      </c>
      <c r="H3">
        <v>1972.847679324894</v>
      </c>
      <c r="I3">
        <v>533.76912665838768</v>
      </c>
      <c r="J3">
        <v>2842.182948460033</v>
      </c>
      <c r="K3">
        <v>2565.8782422552608</v>
      </c>
      <c r="L3">
        <v>6.722229837176438</v>
      </c>
      <c r="M3">
        <v>2.0059224232258572E-11</v>
      </c>
      <c r="N3" t="s">
        <v>15</v>
      </c>
      <c r="O3">
        <f>Итог!$E$4*(positive!$F3/100)*positive!$I3</f>
        <v>54686.659938101708</v>
      </c>
    </row>
    <row r="4" spans="1:15" x14ac:dyDescent="0.25">
      <c r="A4" t="s">
        <v>14</v>
      </c>
      <c r="B4">
        <v>117</v>
      </c>
      <c r="C4">
        <v>625</v>
      </c>
      <c r="D4">
        <v>587</v>
      </c>
      <c r="E4">
        <v>1212</v>
      </c>
      <c r="F4">
        <v>2.6744339997352049</v>
      </c>
      <c r="G4">
        <v>2582.2975999999999</v>
      </c>
      <c r="H4">
        <v>2050.6916524701869</v>
      </c>
      <c r="I4">
        <v>531.60594752981251</v>
      </c>
      <c r="J4">
        <v>2835.0045031864101</v>
      </c>
      <c r="K4">
        <v>2595.7377919626351</v>
      </c>
      <c r="L4">
        <v>3.3981956005701761</v>
      </c>
      <c r="M4">
        <v>7.0038166313428352E-4</v>
      </c>
      <c r="N4" t="s">
        <v>15</v>
      </c>
      <c r="O4">
        <f>Итог!$E$4*(positive!$F4/100)*positive!$I4</f>
        <v>14217.450205351799</v>
      </c>
    </row>
    <row r="5" spans="1:15" x14ac:dyDescent="0.25">
      <c r="A5" t="s">
        <v>17</v>
      </c>
      <c r="B5">
        <v>11</v>
      </c>
      <c r="C5">
        <v>509</v>
      </c>
      <c r="D5">
        <v>608</v>
      </c>
      <c r="E5">
        <v>1117</v>
      </c>
      <c r="F5">
        <v>2.464804272033188</v>
      </c>
      <c r="G5">
        <v>2547.2200392927311</v>
      </c>
      <c r="H5">
        <v>2108.6101973684208</v>
      </c>
      <c r="I5">
        <v>438.60984192430942</v>
      </c>
      <c r="J5">
        <v>3023.702163626916</v>
      </c>
      <c r="K5">
        <v>2663.0383919741221</v>
      </c>
      <c r="L5">
        <v>2.576955493292318</v>
      </c>
      <c r="M5">
        <v>1.009511217035171E-2</v>
      </c>
      <c r="N5" t="s">
        <v>15</v>
      </c>
      <c r="O5">
        <f>Итог!$E$4*(positive!$F5/100)*positive!$I5</f>
        <v>10810.874121308392</v>
      </c>
    </row>
    <row r="6" spans="1:15" x14ac:dyDescent="0.25">
      <c r="A6" t="s">
        <v>18</v>
      </c>
      <c r="B6">
        <v>33</v>
      </c>
      <c r="C6">
        <v>232</v>
      </c>
      <c r="D6">
        <v>258</v>
      </c>
      <c r="E6">
        <v>490</v>
      </c>
      <c r="F6">
        <v>1.081248069199876</v>
      </c>
      <c r="G6">
        <v>4598.2198275862074</v>
      </c>
      <c r="H6">
        <v>2311.3875968992252</v>
      </c>
      <c r="I6">
        <v>2286.8322306869818</v>
      </c>
      <c r="J6">
        <v>2931.2349256860789</v>
      </c>
      <c r="K6">
        <v>2371.7712956261339</v>
      </c>
      <c r="L6">
        <v>9.5328379164110402</v>
      </c>
      <c r="M6">
        <v>7.2225189745714525E-20</v>
      </c>
      <c r="N6" t="s">
        <v>15</v>
      </c>
      <c r="O6">
        <f>Итог!$E$4*(positive!$F6/100)*positive!$I6</f>
        <v>24726.329340143442</v>
      </c>
    </row>
    <row r="7" spans="1:15" x14ac:dyDescent="0.25">
      <c r="A7" t="s">
        <v>16</v>
      </c>
      <c r="B7">
        <v>1287</v>
      </c>
      <c r="C7">
        <v>370</v>
      </c>
      <c r="D7">
        <v>357</v>
      </c>
      <c r="E7">
        <v>727</v>
      </c>
      <c r="F7">
        <v>1.604219074098592</v>
      </c>
      <c r="G7">
        <v>2128.5567567567568</v>
      </c>
      <c r="H7">
        <v>1394.6554621848741</v>
      </c>
      <c r="I7">
        <v>733.901294571883</v>
      </c>
      <c r="J7">
        <v>2437.376458023035</v>
      </c>
      <c r="K7">
        <v>2338.4617787149891</v>
      </c>
      <c r="L7">
        <v>4.1402972158827431</v>
      </c>
      <c r="M7">
        <v>3.876566044301065E-5</v>
      </c>
      <c r="N7" t="s">
        <v>15</v>
      </c>
      <c r="O7">
        <f>Итог!$E$4*(positive!$F7/100)*positive!$I7</f>
        <v>11773.384552578642</v>
      </c>
    </row>
    <row r="8" spans="1:15" x14ac:dyDescent="0.25">
      <c r="A8" t="s">
        <v>16</v>
      </c>
      <c r="B8">
        <v>1654</v>
      </c>
      <c r="C8">
        <v>799</v>
      </c>
      <c r="D8">
        <v>775</v>
      </c>
      <c r="E8">
        <v>1574</v>
      </c>
      <c r="F8">
        <v>3.4732335937155221</v>
      </c>
      <c r="G8">
        <v>3132.3016270337921</v>
      </c>
      <c r="H8">
        <v>2507.8864516129029</v>
      </c>
      <c r="I8">
        <v>624.41517542088877</v>
      </c>
      <c r="J8">
        <v>3199.6602001424731</v>
      </c>
      <c r="K8">
        <v>2950.5128884516971</v>
      </c>
      <c r="L8">
        <v>4.021739297627466</v>
      </c>
      <c r="M8">
        <v>6.050970845492351E-5</v>
      </c>
      <c r="N8" t="s">
        <v>15</v>
      </c>
      <c r="O8">
        <f>Итог!$E$4*(positive!$F8/100)*positive!$I8</f>
        <v>21687.397636976017</v>
      </c>
    </row>
    <row r="9" spans="1:15" x14ac:dyDescent="0.25">
      <c r="A9" t="s">
        <v>14</v>
      </c>
      <c r="B9">
        <v>900</v>
      </c>
      <c r="C9">
        <v>335</v>
      </c>
      <c r="D9">
        <v>341</v>
      </c>
      <c r="E9">
        <v>676</v>
      </c>
      <c r="F9">
        <v>1.4916810097532991</v>
      </c>
      <c r="G9">
        <v>2450.991044776119</v>
      </c>
      <c r="H9">
        <v>1689.7917888563049</v>
      </c>
      <c r="I9">
        <v>761.1992559198145</v>
      </c>
      <c r="J9">
        <v>2865.6073558468502</v>
      </c>
      <c r="K9">
        <v>2492.4726113410602</v>
      </c>
      <c r="L9">
        <v>3.686913572889702</v>
      </c>
      <c r="M9">
        <v>2.4525342392273629E-4</v>
      </c>
      <c r="N9" t="s">
        <v>15</v>
      </c>
      <c r="O9">
        <f>Итог!$E$4*(positive!$F9/100)*positive!$I9</f>
        <v>11354.664746939288</v>
      </c>
    </row>
    <row r="10" spans="1:15" x14ac:dyDescent="0.25">
      <c r="A10" t="s">
        <v>19</v>
      </c>
      <c r="B10">
        <v>991</v>
      </c>
      <c r="C10">
        <v>270</v>
      </c>
      <c r="D10">
        <v>294</v>
      </c>
      <c r="E10">
        <v>564</v>
      </c>
      <c r="F10">
        <v>1.2445385939361839</v>
      </c>
      <c r="G10">
        <v>3249.281481481481</v>
      </c>
      <c r="H10">
        <v>2452.9863945578231</v>
      </c>
      <c r="I10">
        <v>796.29508692365835</v>
      </c>
      <c r="J10">
        <v>4719.5926012698164</v>
      </c>
      <c r="K10">
        <v>3633.9358583139451</v>
      </c>
      <c r="L10">
        <v>2.2552583978062271</v>
      </c>
      <c r="M10">
        <v>2.4501004890271769E-2</v>
      </c>
      <c r="N10" t="s">
        <v>15</v>
      </c>
      <c r="O10">
        <f>Итог!$E$4*(positive!$F10/100)*positive!$I10</f>
        <v>9910.1996783826107</v>
      </c>
    </row>
    <row r="11" spans="1:15" x14ac:dyDescent="0.25">
      <c r="A11" t="s">
        <v>18</v>
      </c>
      <c r="B11">
        <v>34</v>
      </c>
      <c r="C11">
        <v>225</v>
      </c>
      <c r="D11">
        <v>253</v>
      </c>
      <c r="E11">
        <v>478</v>
      </c>
      <c r="F11">
        <v>1.0547685246480429</v>
      </c>
      <c r="G11">
        <v>3104.5066666666671</v>
      </c>
      <c r="H11">
        <v>1752.608695652174</v>
      </c>
      <c r="I11">
        <v>1351.8979710144929</v>
      </c>
      <c r="J11">
        <v>2956.8269145922541</v>
      </c>
      <c r="K11">
        <v>2529.700798122044</v>
      </c>
      <c r="L11">
        <v>5.3862649969282721</v>
      </c>
      <c r="M11">
        <v>1.1327785130388309E-7</v>
      </c>
      <c r="N11" t="s">
        <v>15</v>
      </c>
      <c r="O11">
        <f>Итог!$E$4*(positive!$F11/100)*positive!$I11</f>
        <v>14259.394283616393</v>
      </c>
    </row>
    <row r="12" spans="1:15" x14ac:dyDescent="0.25">
      <c r="A12" t="s">
        <v>14</v>
      </c>
      <c r="B12">
        <v>213</v>
      </c>
      <c r="C12">
        <v>232</v>
      </c>
      <c r="D12">
        <v>255</v>
      </c>
      <c r="E12">
        <v>487</v>
      </c>
      <c r="F12">
        <v>1.074628183061918</v>
      </c>
      <c r="G12">
        <v>2977.629310344827</v>
      </c>
      <c r="H12">
        <v>2277.6117647058818</v>
      </c>
      <c r="I12">
        <v>700.01754563894519</v>
      </c>
      <c r="J12">
        <v>2905.4943623590088</v>
      </c>
      <c r="K12">
        <v>2710.0434132013152</v>
      </c>
      <c r="L12">
        <v>2.7507518943584151</v>
      </c>
      <c r="M12">
        <v>6.1682152950104643E-3</v>
      </c>
      <c r="N12" t="s">
        <v>15</v>
      </c>
      <c r="O12">
        <f>Итог!$E$4*(positive!$F12/100)*positive!$I12</f>
        <v>7522.5858318144283</v>
      </c>
    </row>
    <row r="13" spans="1:15" x14ac:dyDescent="0.25">
      <c r="A13" t="s">
        <v>18</v>
      </c>
      <c r="B13">
        <v>35</v>
      </c>
      <c r="C13">
        <v>214</v>
      </c>
      <c r="D13">
        <v>194</v>
      </c>
      <c r="E13">
        <v>408</v>
      </c>
      <c r="F13">
        <v>0.90030451476234619</v>
      </c>
      <c r="G13">
        <v>2762.2242990654199</v>
      </c>
      <c r="H13">
        <v>1508.8350515463919</v>
      </c>
      <c r="I13">
        <v>1253.3892475190289</v>
      </c>
      <c r="J13">
        <v>2977.0835472163549</v>
      </c>
      <c r="K13">
        <v>2184.8080940632258</v>
      </c>
      <c r="L13">
        <v>4.8066661954145689</v>
      </c>
      <c r="M13">
        <v>2.1646756758588111E-6</v>
      </c>
      <c r="N13" t="s">
        <v>15</v>
      </c>
      <c r="O13">
        <f>Итог!$E$4*(positive!$F13/100)*positive!$I13</f>
        <v>11284.319982959616</v>
      </c>
    </row>
    <row r="14" spans="1:15" x14ac:dyDescent="0.25">
      <c r="A14" t="s">
        <v>14</v>
      </c>
      <c r="B14">
        <v>801</v>
      </c>
      <c r="C14">
        <v>225</v>
      </c>
      <c r="D14">
        <v>212</v>
      </c>
      <c r="E14">
        <v>437</v>
      </c>
      <c r="F14">
        <v>0.96429674742927762</v>
      </c>
      <c r="G14">
        <v>2925.1422222222218</v>
      </c>
      <c r="H14">
        <v>2352.283018867925</v>
      </c>
      <c r="I14">
        <v>572.85920335429773</v>
      </c>
      <c r="J14">
        <v>2774.2920633734361</v>
      </c>
      <c r="K14">
        <v>2928.2858378165029</v>
      </c>
      <c r="L14">
        <v>2.0999906224732121</v>
      </c>
      <c r="M14">
        <v>3.6305006065519063E-2</v>
      </c>
      <c r="N14" t="s">
        <v>15</v>
      </c>
      <c r="O14">
        <f>Итог!$E$4*(positive!$F14/100)*positive!$I14</f>
        <v>5524.062665294764</v>
      </c>
    </row>
    <row r="15" spans="1:15" x14ac:dyDescent="0.25">
      <c r="A15" t="s">
        <v>14</v>
      </c>
      <c r="B15">
        <v>573</v>
      </c>
      <c r="C15">
        <v>177</v>
      </c>
      <c r="D15">
        <v>160</v>
      </c>
      <c r="E15">
        <v>337</v>
      </c>
      <c r="F15">
        <v>0.74363387616399657</v>
      </c>
      <c r="G15">
        <v>2929.0451977401131</v>
      </c>
      <c r="H15">
        <v>1641.2125000000001</v>
      </c>
      <c r="I15">
        <v>1287.832697740113</v>
      </c>
      <c r="J15">
        <v>3201.0981368955931</v>
      </c>
      <c r="K15">
        <v>2619.0447809502239</v>
      </c>
      <c r="L15">
        <v>4.0165685114334524</v>
      </c>
      <c r="M15">
        <v>7.2940741192307104E-5</v>
      </c>
      <c r="N15" t="s">
        <v>15</v>
      </c>
      <c r="O15">
        <f>Итог!$E$4*(positive!$F15/100)*positive!$I15</f>
        <v>9576.7602087121668</v>
      </c>
    </row>
    <row r="16" spans="1:15" x14ac:dyDescent="0.25">
      <c r="A16" t="s">
        <v>14</v>
      </c>
      <c r="B16">
        <v>891</v>
      </c>
      <c r="C16">
        <v>159</v>
      </c>
      <c r="D16">
        <v>167</v>
      </c>
      <c r="E16">
        <v>326</v>
      </c>
      <c r="F16">
        <v>0.71936096032481578</v>
      </c>
      <c r="G16">
        <v>2618.949685534591</v>
      </c>
      <c r="H16">
        <v>1980.65868263473</v>
      </c>
      <c r="I16">
        <v>638.29100289986059</v>
      </c>
      <c r="J16">
        <v>2899.782464121165</v>
      </c>
      <c r="K16">
        <v>2489.571942139818</v>
      </c>
      <c r="L16">
        <v>2.135593480676524</v>
      </c>
      <c r="M16">
        <v>3.3462036844691949E-2</v>
      </c>
      <c r="N16" t="s">
        <v>15</v>
      </c>
      <c r="O16">
        <f>Итог!$E$4*(positive!$F16/100)*positive!$I16</f>
        <v>4591.6162881273349</v>
      </c>
    </row>
    <row r="17" spans="1:15" x14ac:dyDescent="0.25">
      <c r="A17" t="s">
        <v>16</v>
      </c>
      <c r="B17">
        <v>1002</v>
      </c>
      <c r="C17">
        <v>138</v>
      </c>
      <c r="D17">
        <v>188</v>
      </c>
      <c r="E17">
        <v>326</v>
      </c>
      <c r="F17">
        <v>0.71936096032481578</v>
      </c>
      <c r="G17">
        <v>4121.753623188406</v>
      </c>
      <c r="H17">
        <v>1844.7872340425531</v>
      </c>
      <c r="I17">
        <v>2276.9663891458531</v>
      </c>
      <c r="J17">
        <v>4084.263175981715</v>
      </c>
      <c r="K17">
        <v>2436.5361201199139</v>
      </c>
      <c r="L17">
        <v>6.2746223040715314</v>
      </c>
      <c r="M17">
        <v>1.1223868363766531E-9</v>
      </c>
      <c r="N17" t="s">
        <v>15</v>
      </c>
      <c r="O17">
        <f>Итог!$E$4*(positive!$F17/100)*positive!$I17</f>
        <v>16379.607283232892</v>
      </c>
    </row>
    <row r="18" spans="1:15" x14ac:dyDescent="0.25">
      <c r="A18" t="s">
        <v>18</v>
      </c>
      <c r="B18">
        <v>36</v>
      </c>
      <c r="C18">
        <v>131</v>
      </c>
      <c r="D18">
        <v>141</v>
      </c>
      <c r="E18">
        <v>272</v>
      </c>
      <c r="F18">
        <v>0.60020300984156405</v>
      </c>
      <c r="G18">
        <v>1987.3282442748091</v>
      </c>
      <c r="H18">
        <v>860.41843971631204</v>
      </c>
      <c r="I18">
        <v>1126.9098045584969</v>
      </c>
      <c r="J18">
        <v>2718.5026632115769</v>
      </c>
      <c r="K18">
        <v>1840.8266394516061</v>
      </c>
      <c r="L18">
        <v>4.0279507279668927</v>
      </c>
      <c r="M18">
        <v>7.3187580909933576E-5</v>
      </c>
      <c r="N18" t="s">
        <v>15</v>
      </c>
      <c r="O18">
        <f>Итог!$E$4*(positive!$F18/100)*positive!$I18</f>
        <v>6763.7465651597859</v>
      </c>
    </row>
    <row r="19" spans="1:15" x14ac:dyDescent="0.25">
      <c r="O19">
        <f>SUM(O2:O18)</f>
        <v>263633.19716959359</v>
      </c>
    </row>
    <row r="21" spans="1:15" x14ac:dyDescent="0.25">
      <c r="A21" s="16" t="s">
        <v>43</v>
      </c>
      <c r="B21" s="16"/>
      <c r="C21" s="16"/>
    </row>
    <row r="22" spans="1:15" x14ac:dyDescent="0.25">
      <c r="A22" s="16"/>
      <c r="B22" s="16"/>
      <c r="C22" s="16"/>
    </row>
    <row r="23" spans="1:15" x14ac:dyDescent="0.25">
      <c r="A23" s="16"/>
      <c r="B23" s="16"/>
      <c r="C23" s="16"/>
    </row>
    <row r="24" spans="1:15" x14ac:dyDescent="0.25">
      <c r="A24" s="16"/>
      <c r="B24" s="16"/>
      <c r="C24" s="16"/>
    </row>
    <row r="25" spans="1:15" x14ac:dyDescent="0.25">
      <c r="A25" s="16"/>
      <c r="B25" s="16"/>
      <c r="C25" s="16"/>
    </row>
  </sheetData>
  <mergeCells count="1">
    <mergeCell ref="A21:C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workbookViewId="0">
      <selection activeCell="A7" sqref="A7:C11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9" max="9" width="12.7109375" bestFit="1" customWidth="1"/>
    <col min="10" max="10" width="12" bestFit="1" customWidth="1"/>
    <col min="11" max="11" width="13.5703125" bestFit="1" customWidth="1"/>
    <col min="12" max="12" width="12.7109375" bestFit="1" customWidth="1"/>
    <col min="13" max="13" width="12.140625" bestFit="1" customWidth="1"/>
    <col min="14" max="14" width="8.7109375" bestFit="1" customWidth="1"/>
    <col min="15" max="15" width="1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41</v>
      </c>
    </row>
    <row r="2" spans="1:15" x14ac:dyDescent="0.25">
      <c r="A2" t="s">
        <v>20</v>
      </c>
      <c r="B2">
        <v>66</v>
      </c>
      <c r="C2">
        <v>657</v>
      </c>
      <c r="D2">
        <v>703</v>
      </c>
      <c r="E2">
        <v>1360</v>
      </c>
      <c r="F2">
        <v>3.0010150492078198</v>
      </c>
      <c r="G2">
        <v>2288.8706240487058</v>
      </c>
      <c r="H2">
        <v>2601.7610241820771</v>
      </c>
      <c r="I2">
        <v>-312.89040013337029</v>
      </c>
      <c r="J2">
        <v>2682.5676104733511</v>
      </c>
      <c r="K2">
        <v>2830.1937733415261</v>
      </c>
      <c r="L2">
        <v>-2.0892718943323438</v>
      </c>
      <c r="M2">
        <v>3.6868999280986539E-2</v>
      </c>
      <c r="N2" t="s">
        <v>21</v>
      </c>
      <c r="O2">
        <f>Итог!$E$4*(negative!$F2/100)*negative!$I2</f>
        <v>-9389.8879955290067</v>
      </c>
    </row>
    <row r="3" spans="1:15" x14ac:dyDescent="0.25">
      <c r="A3" t="s">
        <v>22</v>
      </c>
      <c r="B3">
        <v>1101</v>
      </c>
      <c r="C3">
        <v>785</v>
      </c>
      <c r="D3">
        <v>869</v>
      </c>
      <c r="E3">
        <v>1654</v>
      </c>
      <c r="F3">
        <v>3.6497638907277459</v>
      </c>
      <c r="G3">
        <v>2176.0038216560511</v>
      </c>
      <c r="H3">
        <v>2523.5788262370538</v>
      </c>
      <c r="I3">
        <v>-347.57500458100321</v>
      </c>
      <c r="J3">
        <v>2722.6244937401698</v>
      </c>
      <c r="K3">
        <v>2960.3523376384092</v>
      </c>
      <c r="L3">
        <v>-2.476736308530425</v>
      </c>
      <c r="M3">
        <v>1.33584476189182E-2</v>
      </c>
      <c r="N3" t="s">
        <v>21</v>
      </c>
      <c r="O3">
        <f>Итог!$E$4*(negative!$F3/100)*negative!$I3</f>
        <v>-12685.667010392764</v>
      </c>
    </row>
    <row r="4" spans="1:15" x14ac:dyDescent="0.25">
      <c r="A4" t="s">
        <v>16</v>
      </c>
      <c r="B4">
        <v>9931</v>
      </c>
      <c r="C4">
        <v>153</v>
      </c>
      <c r="D4">
        <v>137</v>
      </c>
      <c r="E4">
        <v>290</v>
      </c>
      <c r="F4">
        <v>0.6399223266693147</v>
      </c>
      <c r="G4">
        <v>1415.7843137254899</v>
      </c>
      <c r="H4">
        <v>1968.693430656934</v>
      </c>
      <c r="I4">
        <v>-552.90911693144403</v>
      </c>
      <c r="J4">
        <v>2038.164247362316</v>
      </c>
      <c r="K4">
        <v>2403.3978568404691</v>
      </c>
      <c r="L4">
        <v>-2.1191969117156</v>
      </c>
      <c r="M4">
        <v>3.4929468998951822E-2</v>
      </c>
      <c r="N4" t="s">
        <v>21</v>
      </c>
      <c r="O4">
        <f>Итог!$E$4*(negative!$F4/100)*negative!$I4</f>
        <v>-3538.1888854344584</v>
      </c>
    </row>
    <row r="5" spans="1:15" x14ac:dyDescent="0.25">
      <c r="O5">
        <f>SUM(O2:O4)</f>
        <v>-25613.743891356229</v>
      </c>
    </row>
    <row r="7" spans="1:15" x14ac:dyDescent="0.25">
      <c r="A7" s="16" t="s">
        <v>44</v>
      </c>
      <c r="B7" s="16"/>
      <c r="C7" s="16"/>
    </row>
    <row r="8" spans="1:15" x14ac:dyDescent="0.25">
      <c r="A8" s="16"/>
      <c r="B8" s="16"/>
      <c r="C8" s="16"/>
    </row>
    <row r="9" spans="1:15" x14ac:dyDescent="0.25">
      <c r="A9" s="16"/>
      <c r="B9" s="16"/>
      <c r="C9" s="16"/>
    </row>
    <row r="10" spans="1:15" x14ac:dyDescent="0.25">
      <c r="A10" s="16"/>
      <c r="B10" s="16"/>
      <c r="C10" s="16"/>
    </row>
    <row r="11" spans="1:15" x14ac:dyDescent="0.25">
      <c r="A11" s="16"/>
      <c r="B11" s="16"/>
      <c r="C11" s="16"/>
    </row>
  </sheetData>
  <mergeCells count="1">
    <mergeCell ref="A7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workbookViewId="0">
      <selection activeCell="A35" sqref="A35:C40"/>
    </sheetView>
  </sheetViews>
  <sheetFormatPr defaultRowHeight="15" x14ac:dyDescent="0.25"/>
  <cols>
    <col min="1" max="1" width="16.570312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6" width="14" bestFit="1" customWidth="1"/>
    <col min="7" max="7" width="17.5703125" bestFit="1" customWidth="1"/>
    <col min="8" max="8" width="20.42578125" bestFit="1" customWidth="1"/>
    <col min="9" max="9" width="12.7109375" bestFit="1" customWidth="1"/>
    <col min="10" max="10" width="12" bestFit="1" customWidth="1"/>
    <col min="11" max="11" width="13.5703125" bestFit="1" customWidth="1"/>
    <col min="12" max="12" width="12.7109375" bestFit="1" customWidth="1"/>
    <col min="13" max="13" width="12.140625" bestFit="1" customWidth="1"/>
    <col min="14" max="14" width="8.5703125" bestFit="1" customWidth="1"/>
    <col min="15" max="15" width="19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39</v>
      </c>
    </row>
    <row r="2" spans="1:15" x14ac:dyDescent="0.25">
      <c r="A2" t="s">
        <v>14</v>
      </c>
      <c r="B2">
        <v>112</v>
      </c>
      <c r="C2">
        <v>652</v>
      </c>
      <c r="D2">
        <v>683</v>
      </c>
      <c r="E2">
        <v>1335</v>
      </c>
      <c r="F2">
        <v>2.9458493313915</v>
      </c>
      <c r="G2">
        <v>2488.1150306748468</v>
      </c>
      <c r="H2">
        <v>2218.6368960468521</v>
      </c>
      <c r="I2">
        <v>269.47813462799468</v>
      </c>
      <c r="J2">
        <v>2778.1791825699452</v>
      </c>
      <c r="K2">
        <v>2780.7906600356719</v>
      </c>
      <c r="L2">
        <v>1.770712015951776</v>
      </c>
      <c r="M2">
        <v>7.6837103037525542E-2</v>
      </c>
      <c r="N2" t="s">
        <v>23</v>
      </c>
      <c r="O2">
        <f>(16*$K2*$K2)/(Итог!$E$5*Итог!$E$5)</f>
        <v>123.72474711906604</v>
      </c>
    </row>
    <row r="3" spans="1:15" x14ac:dyDescent="0.25">
      <c r="A3" t="s">
        <v>16</v>
      </c>
      <c r="B3">
        <v>3786</v>
      </c>
      <c r="C3">
        <v>237</v>
      </c>
      <c r="D3">
        <v>278</v>
      </c>
      <c r="E3">
        <v>515</v>
      </c>
      <c r="F3">
        <v>1.136413787016197</v>
      </c>
      <c r="G3">
        <v>2613.683544303798</v>
      </c>
      <c r="H3">
        <v>2688.2302158273378</v>
      </c>
      <c r="I3">
        <v>-74.546671523540681</v>
      </c>
      <c r="J3">
        <v>2712.2358586268451</v>
      </c>
      <c r="K3">
        <v>3292.9376410463801</v>
      </c>
      <c r="L3">
        <v>-0.27739869767570208</v>
      </c>
      <c r="M3">
        <v>0.78158572976611407</v>
      </c>
      <c r="N3" t="s">
        <v>23</v>
      </c>
      <c r="O3">
        <f>(16*$K3*$K3)/(Итог!$E$5*Итог!$E$5)</f>
        <v>173.49501292512159</v>
      </c>
    </row>
    <row r="4" spans="1:15" x14ac:dyDescent="0.25">
      <c r="A4" t="s">
        <v>24</v>
      </c>
      <c r="B4">
        <v>80</v>
      </c>
      <c r="C4">
        <v>844</v>
      </c>
      <c r="D4">
        <v>880</v>
      </c>
      <c r="E4">
        <v>1724</v>
      </c>
      <c r="F4">
        <v>3.804227900613443</v>
      </c>
      <c r="G4">
        <v>2517.3305687203788</v>
      </c>
      <c r="H4">
        <v>2511.9727272727268</v>
      </c>
      <c r="I4">
        <v>5.3578414476519356</v>
      </c>
      <c r="J4">
        <v>2797.1230332385999</v>
      </c>
      <c r="K4">
        <v>2824.7199322235679</v>
      </c>
      <c r="L4">
        <v>3.9558086467205961E-2</v>
      </c>
      <c r="M4">
        <v>0.96845002895143795</v>
      </c>
      <c r="N4" t="s">
        <v>23</v>
      </c>
      <c r="O4">
        <f>(16*$K4*$K4)/(Итог!$E$5*Итог!$E$5)</f>
        <v>127.66468312801788</v>
      </c>
    </row>
    <row r="5" spans="1:15" x14ac:dyDescent="0.25">
      <c r="A5" t="s">
        <v>25</v>
      </c>
      <c r="B5">
        <v>88</v>
      </c>
      <c r="C5">
        <v>190</v>
      </c>
      <c r="D5">
        <v>167</v>
      </c>
      <c r="E5">
        <v>357</v>
      </c>
      <c r="F5">
        <v>0.78776645041705273</v>
      </c>
      <c r="G5">
        <v>2902.410526315789</v>
      </c>
      <c r="H5">
        <v>2439.4610778443121</v>
      </c>
      <c r="I5">
        <v>462.94944847147781</v>
      </c>
      <c r="J5">
        <v>3074.6488868920251</v>
      </c>
      <c r="K5">
        <v>2689.343053091382</v>
      </c>
      <c r="L5">
        <v>1.5045563456740749</v>
      </c>
      <c r="M5">
        <v>0.1333273246710206</v>
      </c>
      <c r="N5" t="s">
        <v>23</v>
      </c>
      <c r="O5">
        <f>(16*$K5*$K5)/(Итог!$E$5*Итог!$E$5)</f>
        <v>115.72105691537401</v>
      </c>
    </row>
    <row r="6" spans="1:15" x14ac:dyDescent="0.25">
      <c r="A6" t="s">
        <v>26</v>
      </c>
      <c r="B6">
        <v>55</v>
      </c>
      <c r="C6">
        <v>422</v>
      </c>
      <c r="D6">
        <v>425</v>
      </c>
      <c r="E6">
        <v>847</v>
      </c>
      <c r="F6">
        <v>1.869014519616929</v>
      </c>
      <c r="G6">
        <v>2109.1066350710898</v>
      </c>
      <c r="H6">
        <v>2111.2729411764708</v>
      </c>
      <c r="I6">
        <v>-2.1663061053809538</v>
      </c>
      <c r="J6">
        <v>2790.9933852461859</v>
      </c>
      <c r="K6">
        <v>2804.223188242775</v>
      </c>
      <c r="L6">
        <v>-1.126774587434534E-2</v>
      </c>
      <c r="M6">
        <v>0.99101248941204068</v>
      </c>
      <c r="N6" t="s">
        <v>23</v>
      </c>
      <c r="O6">
        <f>(16*$K6*$K6)/(Итог!$E$5*Итог!$E$5)</f>
        <v>125.81868303165558</v>
      </c>
    </row>
    <row r="7" spans="1:15" x14ac:dyDescent="0.25">
      <c r="A7" t="s">
        <v>27</v>
      </c>
      <c r="B7">
        <v>212</v>
      </c>
      <c r="C7">
        <v>593</v>
      </c>
      <c r="D7">
        <v>575</v>
      </c>
      <c r="E7">
        <v>1168</v>
      </c>
      <c r="F7">
        <v>2.5773423363784809</v>
      </c>
      <c r="G7">
        <v>2144.317032040472</v>
      </c>
      <c r="H7">
        <v>2222.052173913044</v>
      </c>
      <c r="I7">
        <v>-77.735141872571603</v>
      </c>
      <c r="J7">
        <v>2708.58872398012</v>
      </c>
      <c r="K7">
        <v>2785.116250157233</v>
      </c>
      <c r="L7">
        <v>-0.48358538550993968</v>
      </c>
      <c r="M7">
        <v>0.62877094764054164</v>
      </c>
      <c r="N7" t="s">
        <v>23</v>
      </c>
      <c r="O7">
        <f>(16*$K7*$K7)/(Итог!$E$5*Итог!$E$5)</f>
        <v>124.10996043023819</v>
      </c>
    </row>
    <row r="8" spans="1:15" x14ac:dyDescent="0.25">
      <c r="A8" t="s">
        <v>19</v>
      </c>
      <c r="B8">
        <v>477</v>
      </c>
      <c r="C8">
        <v>382</v>
      </c>
      <c r="D8">
        <v>386</v>
      </c>
      <c r="E8">
        <v>768</v>
      </c>
      <c r="F8">
        <v>1.6946908513173571</v>
      </c>
      <c r="G8">
        <v>2259.623036649215</v>
      </c>
      <c r="H8">
        <v>2496.987046632124</v>
      </c>
      <c r="I8">
        <v>-237.36400998290989</v>
      </c>
      <c r="J8">
        <v>3482.8460937348041</v>
      </c>
      <c r="K8">
        <v>3881.9947185225419</v>
      </c>
      <c r="L8">
        <v>-0.89159336291986235</v>
      </c>
      <c r="M8">
        <v>0.37289090359186572</v>
      </c>
      <c r="N8" t="s">
        <v>23</v>
      </c>
      <c r="O8">
        <f>(16*$K8*$K8)/(Итог!$E$5*Итог!$E$5)</f>
        <v>241.11812791419055</v>
      </c>
    </row>
    <row r="9" spans="1:15" x14ac:dyDescent="0.25">
      <c r="A9" t="s">
        <v>14</v>
      </c>
      <c r="B9">
        <v>309</v>
      </c>
      <c r="C9">
        <v>240</v>
      </c>
      <c r="D9">
        <v>238</v>
      </c>
      <c r="E9">
        <v>478</v>
      </c>
      <c r="F9">
        <v>1.0547685246480429</v>
      </c>
      <c r="G9">
        <v>2706.2791666666672</v>
      </c>
      <c r="H9">
        <v>2392.8949579831929</v>
      </c>
      <c r="I9">
        <v>313.38420868347339</v>
      </c>
      <c r="J9">
        <v>2814.939848860397</v>
      </c>
      <c r="K9">
        <v>2761.9387158176141</v>
      </c>
      <c r="L9">
        <v>1.228454613597767</v>
      </c>
      <c r="M9">
        <v>0.21988338416718509</v>
      </c>
      <c r="N9" t="s">
        <v>23</v>
      </c>
      <c r="O9">
        <f>(16*$K9*$K9)/(Итог!$E$5*Итог!$E$5)</f>
        <v>122.05288751891602</v>
      </c>
    </row>
    <row r="10" spans="1:15" x14ac:dyDescent="0.25">
      <c r="A10" t="s">
        <v>19</v>
      </c>
      <c r="B10">
        <v>439</v>
      </c>
      <c r="C10">
        <v>355</v>
      </c>
      <c r="D10">
        <v>351</v>
      </c>
      <c r="E10">
        <v>706</v>
      </c>
      <c r="F10">
        <v>1.557879871132883</v>
      </c>
      <c r="G10">
        <v>2481.9605633802821</v>
      </c>
      <c r="H10">
        <v>2400.635327635327</v>
      </c>
      <c r="I10">
        <v>81.325235744954171</v>
      </c>
      <c r="J10">
        <v>4040.441006810277</v>
      </c>
      <c r="K10">
        <v>3722.1170724360331</v>
      </c>
      <c r="L10">
        <v>0.27806735037805058</v>
      </c>
      <c r="M10">
        <v>0.78104230354142801</v>
      </c>
      <c r="N10" t="s">
        <v>23</v>
      </c>
      <c r="O10">
        <f>(16*$K10*$K10)/(Итог!$E$5*Итог!$E$5)</f>
        <v>221.66648801471658</v>
      </c>
    </row>
    <row r="11" spans="1:15" x14ac:dyDescent="0.25">
      <c r="A11" t="s">
        <v>14</v>
      </c>
      <c r="B11">
        <v>576</v>
      </c>
      <c r="C11">
        <v>630</v>
      </c>
      <c r="D11">
        <v>657</v>
      </c>
      <c r="E11">
        <v>1287</v>
      </c>
      <c r="F11">
        <v>2.8399311531841649</v>
      </c>
      <c r="G11">
        <v>1594.436507936508</v>
      </c>
      <c r="H11">
        <v>1342.1293759512939</v>
      </c>
      <c r="I11">
        <v>252.30713198521431</v>
      </c>
      <c r="J11">
        <v>2683.7272105777288</v>
      </c>
      <c r="K11">
        <v>2415.822663876058</v>
      </c>
      <c r="L11">
        <v>1.7740729896541769</v>
      </c>
      <c r="M11">
        <v>7.6287833758135845E-2</v>
      </c>
      <c r="N11" t="s">
        <v>23</v>
      </c>
      <c r="O11">
        <f>(16*$K11*$K11)/(Итог!$E$5*Итог!$E$5)</f>
        <v>93.379186292755406</v>
      </c>
    </row>
    <row r="12" spans="1:15" x14ac:dyDescent="0.25">
      <c r="A12" t="s">
        <v>27</v>
      </c>
      <c r="B12">
        <v>277</v>
      </c>
      <c r="C12">
        <v>708</v>
      </c>
      <c r="D12">
        <v>709</v>
      </c>
      <c r="E12">
        <v>1417</v>
      </c>
      <c r="F12">
        <v>3.126792885829031</v>
      </c>
      <c r="G12">
        <v>2285.75</v>
      </c>
      <c r="H12">
        <v>2431.3653032440061</v>
      </c>
      <c r="I12">
        <v>-145.61530324400559</v>
      </c>
      <c r="J12">
        <v>2712.677878262808</v>
      </c>
      <c r="K12">
        <v>2868.5875686413829</v>
      </c>
      <c r="L12">
        <v>-0.98170546685316118</v>
      </c>
      <c r="M12">
        <v>0.32641278977933119</v>
      </c>
      <c r="N12" t="s">
        <v>23</v>
      </c>
      <c r="O12">
        <f>(16*$K12*$K12)/(Итог!$E$5*Итог!$E$5)</f>
        <v>131.66071422342208</v>
      </c>
    </row>
    <row r="13" spans="1:15" x14ac:dyDescent="0.25">
      <c r="A13" t="s">
        <v>16</v>
      </c>
      <c r="B13">
        <v>3987</v>
      </c>
      <c r="C13">
        <v>801</v>
      </c>
      <c r="D13">
        <v>785</v>
      </c>
      <c r="E13">
        <v>1586</v>
      </c>
      <c r="F13">
        <v>3.4997131382673552</v>
      </c>
      <c r="G13">
        <v>1602.995006242197</v>
      </c>
      <c r="H13">
        <v>1639.857324840764</v>
      </c>
      <c r="I13">
        <v>-36.862318598567072</v>
      </c>
      <c r="J13">
        <v>2518.8292052012698</v>
      </c>
      <c r="K13">
        <v>2686.3174166097551</v>
      </c>
      <c r="L13">
        <v>-0.28196520087867383</v>
      </c>
      <c r="M13">
        <v>0.77800702736032634</v>
      </c>
      <c r="N13" t="s">
        <v>23</v>
      </c>
      <c r="O13">
        <f>(16*$K13*$K13)/(Итог!$E$5*Итог!$E$5)</f>
        <v>115.46082020449454</v>
      </c>
    </row>
    <row r="14" spans="1:15" x14ac:dyDescent="0.25">
      <c r="A14" t="s">
        <v>27</v>
      </c>
      <c r="B14">
        <v>202</v>
      </c>
      <c r="C14">
        <v>551</v>
      </c>
      <c r="D14">
        <v>565</v>
      </c>
      <c r="E14">
        <v>1116</v>
      </c>
      <c r="F14">
        <v>2.4625976433205352</v>
      </c>
      <c r="G14">
        <v>2927.341197822142</v>
      </c>
      <c r="H14">
        <v>2730.378761061947</v>
      </c>
      <c r="I14">
        <v>196.96243676019461</v>
      </c>
      <c r="J14">
        <v>2956.6862414948841</v>
      </c>
      <c r="K14">
        <v>2737.885785163031</v>
      </c>
      <c r="L14">
        <v>1.155072918440385</v>
      </c>
      <c r="M14">
        <v>0.24830826390447139</v>
      </c>
      <c r="N14" t="s">
        <v>23</v>
      </c>
      <c r="O14">
        <f>(16*$K14*$K14)/(Итог!$E$5*Итог!$E$5)</f>
        <v>119.93629716156458</v>
      </c>
    </row>
    <row r="15" spans="1:15" x14ac:dyDescent="0.25">
      <c r="A15" t="s">
        <v>26</v>
      </c>
      <c r="B15">
        <v>54</v>
      </c>
      <c r="C15">
        <v>633</v>
      </c>
      <c r="D15">
        <v>640</v>
      </c>
      <c r="E15">
        <v>1273</v>
      </c>
      <c r="F15">
        <v>2.8090383512070258</v>
      </c>
      <c r="G15">
        <v>1702.7140600315961</v>
      </c>
      <c r="H15">
        <v>1688.5125</v>
      </c>
      <c r="I15">
        <v>14.201560031595591</v>
      </c>
      <c r="J15">
        <v>2565.132439533983</v>
      </c>
      <c r="K15">
        <v>2628.0124903233682</v>
      </c>
      <c r="L15">
        <v>9.7555656950156625E-2</v>
      </c>
      <c r="M15">
        <v>0.92230051833342097</v>
      </c>
      <c r="N15" t="s">
        <v>23</v>
      </c>
      <c r="O15">
        <f>(16*$K15*$K15)/(Итог!$E$5*Итог!$E$5)</f>
        <v>110.50319438873011</v>
      </c>
    </row>
    <row r="16" spans="1:15" x14ac:dyDescent="0.25">
      <c r="A16" t="s">
        <v>28</v>
      </c>
      <c r="B16">
        <v>72</v>
      </c>
      <c r="C16">
        <v>609</v>
      </c>
      <c r="D16">
        <v>639</v>
      </c>
      <c r="E16">
        <v>1248</v>
      </c>
      <c r="F16">
        <v>2.753872633390706</v>
      </c>
      <c r="G16">
        <v>2371.4334975369461</v>
      </c>
      <c r="H16">
        <v>2523.3755868544599</v>
      </c>
      <c r="I16">
        <v>-151.9420893175143</v>
      </c>
      <c r="J16">
        <v>2906.824457531357</v>
      </c>
      <c r="K16">
        <v>2795.9171755336042</v>
      </c>
      <c r="L16">
        <v>-0.94123363535756777</v>
      </c>
      <c r="M16">
        <v>0.3467675852041211</v>
      </c>
      <c r="N16" t="s">
        <v>23</v>
      </c>
      <c r="O16">
        <f>(16*$K16*$K16)/(Итог!$E$5*Итог!$E$5)</f>
        <v>125.07444563910092</v>
      </c>
    </row>
    <row r="17" spans="1:15" x14ac:dyDescent="0.25">
      <c r="A17" t="s">
        <v>27</v>
      </c>
      <c r="B17">
        <v>444</v>
      </c>
      <c r="C17">
        <v>650</v>
      </c>
      <c r="D17">
        <v>562</v>
      </c>
      <c r="E17">
        <v>1212</v>
      </c>
      <c r="F17">
        <v>2.6744339997352049</v>
      </c>
      <c r="G17">
        <v>2404.106153846154</v>
      </c>
      <c r="H17">
        <v>2545.7348754448399</v>
      </c>
      <c r="I17">
        <v>-141.62872159868579</v>
      </c>
      <c r="J17">
        <v>2810.8284873546108</v>
      </c>
      <c r="K17">
        <v>2797.1387639335098</v>
      </c>
      <c r="L17">
        <v>-0.87674037193140586</v>
      </c>
      <c r="M17">
        <v>0.3808017001028422</v>
      </c>
      <c r="N17" t="s">
        <v>23</v>
      </c>
      <c r="O17">
        <f>(16*$K17*$K17)/(Итог!$E$5*Итог!$E$5)</f>
        <v>125.18376423519173</v>
      </c>
    </row>
    <row r="18" spans="1:15" x14ac:dyDescent="0.25">
      <c r="A18" t="s">
        <v>19</v>
      </c>
      <c r="B18">
        <v>544</v>
      </c>
      <c r="C18">
        <v>377</v>
      </c>
      <c r="D18">
        <v>416</v>
      </c>
      <c r="E18">
        <v>793</v>
      </c>
      <c r="F18">
        <v>1.749856569133678</v>
      </c>
      <c r="G18">
        <v>2621.4270557029181</v>
      </c>
      <c r="H18">
        <v>2635.5480769230771</v>
      </c>
      <c r="I18">
        <v>-14.12102122015949</v>
      </c>
      <c r="J18">
        <v>3714.8947510376902</v>
      </c>
      <c r="K18">
        <v>4639.8207461839993</v>
      </c>
      <c r="L18">
        <v>-4.6997059757738192E-2</v>
      </c>
      <c r="M18">
        <v>0.96252743362660054</v>
      </c>
      <c r="N18" t="s">
        <v>23</v>
      </c>
      <c r="O18">
        <f>(16*$K18*$K18)/(Итог!$E$5*Итог!$E$5)</f>
        <v>344.44698490751114</v>
      </c>
    </row>
    <row r="19" spans="1:15" x14ac:dyDescent="0.25">
      <c r="A19" t="s">
        <v>19</v>
      </c>
      <c r="B19">
        <v>699</v>
      </c>
      <c r="C19">
        <v>482</v>
      </c>
      <c r="D19">
        <v>494</v>
      </c>
      <c r="E19">
        <v>976</v>
      </c>
      <c r="F19">
        <v>2.153669623549141</v>
      </c>
      <c r="G19">
        <v>2422.286307053942</v>
      </c>
      <c r="H19">
        <v>2574.3522267206481</v>
      </c>
      <c r="I19">
        <v>-152.0659196667057</v>
      </c>
      <c r="J19">
        <v>3906.817897493851</v>
      </c>
      <c r="K19">
        <v>4082.8513558716531</v>
      </c>
      <c r="L19">
        <v>-0.59425382588472897</v>
      </c>
      <c r="M19">
        <v>0.55248035588145283</v>
      </c>
      <c r="N19" t="s">
        <v>23</v>
      </c>
      <c r="O19">
        <f>(16*$K19*$K19)/(Итог!$E$5*Итог!$E$5)</f>
        <v>266.71480310628795</v>
      </c>
    </row>
    <row r="20" spans="1:15" x14ac:dyDescent="0.25">
      <c r="A20" t="s">
        <v>22</v>
      </c>
      <c r="B20">
        <v>1989</v>
      </c>
      <c r="C20">
        <v>239</v>
      </c>
      <c r="D20">
        <v>270</v>
      </c>
      <c r="E20">
        <v>509</v>
      </c>
      <c r="F20">
        <v>1.12317401474028</v>
      </c>
      <c r="G20">
        <v>4407.3849372384939</v>
      </c>
      <c r="H20">
        <v>4163.9592592592589</v>
      </c>
      <c r="I20">
        <v>243.42567797923491</v>
      </c>
      <c r="J20">
        <v>2737.9007251199778</v>
      </c>
      <c r="K20">
        <v>2492.0962933115152</v>
      </c>
      <c r="L20">
        <v>1.0499935308392909</v>
      </c>
      <c r="M20">
        <v>0.29422131648059052</v>
      </c>
      <c r="N20" t="s">
        <v>23</v>
      </c>
      <c r="O20">
        <f>(16*$K20*$K20)/(Итог!$E$5*Итог!$E$5)</f>
        <v>99.36870296219189</v>
      </c>
    </row>
    <row r="21" spans="1:15" x14ac:dyDescent="0.25">
      <c r="A21" t="s">
        <v>29</v>
      </c>
      <c r="B21">
        <v>2</v>
      </c>
      <c r="C21">
        <v>78</v>
      </c>
      <c r="D21">
        <v>71</v>
      </c>
      <c r="E21">
        <v>149</v>
      </c>
      <c r="F21">
        <v>0.32878767818526861</v>
      </c>
      <c r="G21">
        <v>579.33333333333337</v>
      </c>
      <c r="H21">
        <v>483.45070422535213</v>
      </c>
      <c r="I21">
        <v>95.882629107981245</v>
      </c>
      <c r="J21">
        <v>1860.7624304329711</v>
      </c>
      <c r="K21">
        <v>1654.923181546782</v>
      </c>
      <c r="L21">
        <v>0.33105243476452068</v>
      </c>
      <c r="M21">
        <v>0.7410763125801646</v>
      </c>
      <c r="N21" t="s">
        <v>23</v>
      </c>
      <c r="O21">
        <f>(16*$K21*$K21)/(Итог!$E$5*Итог!$E$5)</f>
        <v>43.820331789134769</v>
      </c>
    </row>
    <row r="22" spans="1:15" x14ac:dyDescent="0.25">
      <c r="A22" t="s">
        <v>16</v>
      </c>
      <c r="B22">
        <v>2212</v>
      </c>
      <c r="C22">
        <v>422</v>
      </c>
      <c r="D22">
        <v>397</v>
      </c>
      <c r="E22">
        <v>819</v>
      </c>
      <c r="F22">
        <v>1.80722891566265</v>
      </c>
      <c r="G22">
        <v>2813.168246445498</v>
      </c>
      <c r="H22">
        <v>2739.3627204030231</v>
      </c>
      <c r="I22">
        <v>73.805526042474867</v>
      </c>
      <c r="J22">
        <v>3196.8888606429418</v>
      </c>
      <c r="K22">
        <v>2446.9750361819461</v>
      </c>
      <c r="L22">
        <v>0.36933742527752028</v>
      </c>
      <c r="M22">
        <v>0.71197193509754264</v>
      </c>
      <c r="N22" t="s">
        <v>23</v>
      </c>
      <c r="O22">
        <f>(16*$K22*$K22)/(Итог!$E$5*Итог!$E$5)</f>
        <v>95.802989243162187</v>
      </c>
    </row>
    <row r="23" spans="1:15" x14ac:dyDescent="0.25">
      <c r="A23" t="s">
        <v>30</v>
      </c>
      <c r="B23">
        <v>19</v>
      </c>
      <c r="C23">
        <v>130</v>
      </c>
      <c r="D23">
        <v>146</v>
      </c>
      <c r="E23">
        <v>276</v>
      </c>
      <c r="F23">
        <v>0.60902952469217531</v>
      </c>
      <c r="G23">
        <v>2043.823076923077</v>
      </c>
      <c r="H23">
        <v>1743.3767123287671</v>
      </c>
      <c r="I23">
        <v>300.4463645943099</v>
      </c>
      <c r="J23">
        <v>2442.26678753138</v>
      </c>
      <c r="K23">
        <v>2891.3333593759371</v>
      </c>
      <c r="L23">
        <v>0.92645906346779439</v>
      </c>
      <c r="M23">
        <v>0.35502276486047568</v>
      </c>
      <c r="N23" t="s">
        <v>23</v>
      </c>
      <c r="O23">
        <f>(16*$K23*$K23)/(Итог!$E$5*Итог!$E$5)</f>
        <v>133.75693752064225</v>
      </c>
    </row>
    <row r="24" spans="1:15" x14ac:dyDescent="0.25">
      <c r="A24" t="s">
        <v>19</v>
      </c>
      <c r="B24">
        <v>516</v>
      </c>
      <c r="C24">
        <v>634</v>
      </c>
      <c r="D24">
        <v>636</v>
      </c>
      <c r="E24">
        <v>1270</v>
      </c>
      <c r="F24">
        <v>2.802418465069068</v>
      </c>
      <c r="G24">
        <v>3237.2003154574131</v>
      </c>
      <c r="H24">
        <v>2880.48427672956</v>
      </c>
      <c r="I24">
        <v>356.71603872785317</v>
      </c>
      <c r="J24">
        <v>4537.1038422947422</v>
      </c>
      <c r="K24">
        <v>3819.292813470583</v>
      </c>
      <c r="L24">
        <v>1.5158873899080001</v>
      </c>
      <c r="M24">
        <v>0.12979706851619149</v>
      </c>
      <c r="N24" t="s">
        <v>23</v>
      </c>
      <c r="O24">
        <f>(16*$K24*$K24)/(Итог!$E$5*Итог!$E$5)</f>
        <v>233.39196152044866</v>
      </c>
    </row>
    <row r="25" spans="1:15" x14ac:dyDescent="0.25">
      <c r="A25" t="s">
        <v>16</v>
      </c>
      <c r="B25">
        <v>8543</v>
      </c>
      <c r="C25">
        <v>148</v>
      </c>
      <c r="D25">
        <v>140</v>
      </c>
      <c r="E25">
        <v>288</v>
      </c>
      <c r="F25">
        <v>0.63550906924400907</v>
      </c>
      <c r="G25">
        <v>1859.7770270270271</v>
      </c>
      <c r="H25">
        <v>1804.25</v>
      </c>
      <c r="I25">
        <v>55.527027027027088</v>
      </c>
      <c r="J25">
        <v>2568.980429381179</v>
      </c>
      <c r="K25">
        <v>3015.7266304677269</v>
      </c>
      <c r="L25">
        <v>0.16850596566670989</v>
      </c>
      <c r="M25">
        <v>0.86630435550570684</v>
      </c>
      <c r="N25" t="s">
        <v>23</v>
      </c>
      <c r="O25">
        <f>(16*$K25*$K25)/(Итог!$E$5*Итог!$E$5)</f>
        <v>145.51371375539568</v>
      </c>
    </row>
    <row r="26" spans="1:15" x14ac:dyDescent="0.25">
      <c r="A26" t="s">
        <v>27</v>
      </c>
      <c r="B26">
        <v>278</v>
      </c>
      <c r="C26">
        <v>535</v>
      </c>
      <c r="D26">
        <v>489</v>
      </c>
      <c r="E26">
        <v>1024</v>
      </c>
      <c r="F26">
        <v>2.259587801756477</v>
      </c>
      <c r="G26">
        <v>2499.3457943925232</v>
      </c>
      <c r="H26">
        <v>2185.21472392638</v>
      </c>
      <c r="I26">
        <v>314.13107046614277</v>
      </c>
      <c r="J26">
        <v>2915.995328953642</v>
      </c>
      <c r="K26">
        <v>2574.9155972376102</v>
      </c>
      <c r="L26">
        <v>1.8202681201948649</v>
      </c>
      <c r="M26">
        <v>6.9010560745835017E-2</v>
      </c>
      <c r="N26" t="s">
        <v>23</v>
      </c>
      <c r="O26">
        <f>(16*$K26*$K26)/(Итог!$E$5*Итог!$E$5)</f>
        <v>106.08304532636031</v>
      </c>
    </row>
    <row r="27" spans="1:15" x14ac:dyDescent="0.25">
      <c r="A27" t="s">
        <v>16</v>
      </c>
      <c r="B27">
        <v>6543</v>
      </c>
      <c r="C27">
        <v>662</v>
      </c>
      <c r="D27">
        <v>689</v>
      </c>
      <c r="E27">
        <v>1351</v>
      </c>
      <c r="F27">
        <v>2.981155390793945</v>
      </c>
      <c r="G27">
        <v>1702.439577039275</v>
      </c>
      <c r="H27">
        <v>1528.3251088534109</v>
      </c>
      <c r="I27">
        <v>174.1144681858643</v>
      </c>
      <c r="J27">
        <v>2453.9017173783341</v>
      </c>
      <c r="K27">
        <v>2338.522063325961</v>
      </c>
      <c r="L27">
        <v>1.335377321119084</v>
      </c>
      <c r="M27">
        <v>0.18197815948321541</v>
      </c>
      <c r="N27" t="s">
        <v>23</v>
      </c>
      <c r="O27">
        <f>(16*$K27*$K27)/(Итог!$E$5*Итог!$E$5)</f>
        <v>87.498967050596946</v>
      </c>
    </row>
    <row r="28" spans="1:15" x14ac:dyDescent="0.25">
      <c r="A28" t="s">
        <v>24</v>
      </c>
      <c r="B28">
        <v>82</v>
      </c>
      <c r="C28">
        <v>169</v>
      </c>
      <c r="D28">
        <v>229</v>
      </c>
      <c r="E28">
        <v>398</v>
      </c>
      <c r="F28">
        <v>0.87823822763581794</v>
      </c>
      <c r="G28">
        <v>2586.0118343195272</v>
      </c>
      <c r="H28">
        <v>2655.6724890829701</v>
      </c>
      <c r="I28">
        <v>-69.660654763442835</v>
      </c>
      <c r="J28">
        <v>2676.4355627004538</v>
      </c>
      <c r="K28">
        <v>2929.3636863964948</v>
      </c>
      <c r="L28">
        <v>-0.2431728557168128</v>
      </c>
      <c r="M28">
        <v>0.80799740556960586</v>
      </c>
      <c r="N28" t="s">
        <v>23</v>
      </c>
      <c r="O28">
        <f>(16*$K28*$K28)/(Итог!$E$5*Итог!$E$5)</f>
        <v>137.29874571485539</v>
      </c>
    </row>
    <row r="29" spans="1:15" x14ac:dyDescent="0.25">
      <c r="A29" t="s">
        <v>16</v>
      </c>
      <c r="B29">
        <v>9121</v>
      </c>
      <c r="C29">
        <v>131</v>
      </c>
      <c r="D29">
        <v>108</v>
      </c>
      <c r="E29">
        <v>239</v>
      </c>
      <c r="F29">
        <v>0.52738426232402136</v>
      </c>
      <c r="G29">
        <v>1976.854961832061</v>
      </c>
      <c r="H29">
        <v>1856.9444444444439</v>
      </c>
      <c r="I29">
        <v>119.91051738761669</v>
      </c>
      <c r="J29">
        <v>2605.797427400727</v>
      </c>
      <c r="K29">
        <v>2442.3261657052421</v>
      </c>
      <c r="L29">
        <v>0.36418256697602858</v>
      </c>
      <c r="M29">
        <v>0.71604638423203104</v>
      </c>
      <c r="N29" t="s">
        <v>23</v>
      </c>
      <c r="O29">
        <f>(16*$K29*$K29)/(Итог!$E$5*Итог!$E$5)</f>
        <v>95.43931359501552</v>
      </c>
    </row>
    <row r="30" spans="1:15" x14ac:dyDescent="0.25">
      <c r="A30" t="s">
        <v>14</v>
      </c>
      <c r="B30">
        <v>394</v>
      </c>
      <c r="C30">
        <v>104</v>
      </c>
      <c r="D30">
        <v>85</v>
      </c>
      <c r="E30">
        <v>189</v>
      </c>
      <c r="F30">
        <v>0.41705282669138088</v>
      </c>
      <c r="G30">
        <v>1229.6442307692309</v>
      </c>
      <c r="H30">
        <v>973.62352941176471</v>
      </c>
      <c r="I30">
        <v>256.02070135746601</v>
      </c>
      <c r="J30">
        <v>2208.2278398271678</v>
      </c>
      <c r="K30">
        <v>1940.854825024458</v>
      </c>
      <c r="L30">
        <v>0.83682539191104999</v>
      </c>
      <c r="M30">
        <v>0.40375884675107399</v>
      </c>
      <c r="N30" t="s">
        <v>23</v>
      </c>
      <c r="O30">
        <f>(16*$K30*$K30)/(Итог!$E$5*Итог!$E$5)</f>
        <v>60.27067922913151</v>
      </c>
    </row>
    <row r="31" spans="1:15" x14ac:dyDescent="0.25">
      <c r="A31" t="s">
        <v>31</v>
      </c>
      <c r="B31">
        <v>69</v>
      </c>
      <c r="C31">
        <v>75</v>
      </c>
      <c r="D31">
        <v>78</v>
      </c>
      <c r="E31">
        <v>153</v>
      </c>
      <c r="F31">
        <v>0.33761419303587981</v>
      </c>
      <c r="G31">
        <v>1171.4533333333329</v>
      </c>
      <c r="H31">
        <v>600.15384615384619</v>
      </c>
      <c r="I31">
        <v>571.29948717948719</v>
      </c>
      <c r="J31">
        <v>2578.10410276325</v>
      </c>
      <c r="K31">
        <v>1690.1397550523429</v>
      </c>
      <c r="L31">
        <v>1.627060492928311</v>
      </c>
      <c r="M31">
        <v>0.105809212549273</v>
      </c>
      <c r="N31" t="s">
        <v>23</v>
      </c>
      <c r="O31">
        <f>(16*$K31*$K31)/(Итог!$E$5*Итог!$E$5)</f>
        <v>45.705158265734298</v>
      </c>
    </row>
    <row r="32" spans="1:15" x14ac:dyDescent="0.25">
      <c r="A32" t="s">
        <v>28</v>
      </c>
      <c r="B32">
        <v>73</v>
      </c>
      <c r="C32">
        <v>187</v>
      </c>
      <c r="D32">
        <v>167</v>
      </c>
      <c r="E32">
        <v>354</v>
      </c>
      <c r="F32">
        <v>0.78114656427909435</v>
      </c>
      <c r="G32">
        <v>2092.181818181818</v>
      </c>
      <c r="H32">
        <v>2521.958083832335</v>
      </c>
      <c r="I32">
        <v>-429.77626565051742</v>
      </c>
      <c r="J32">
        <v>2530.2746480809969</v>
      </c>
      <c r="K32">
        <v>2875.4596329355891</v>
      </c>
      <c r="L32">
        <v>-1.4958446791905919</v>
      </c>
      <c r="M32">
        <v>0.13559014690618421</v>
      </c>
      <c r="N32" t="s">
        <v>23</v>
      </c>
      <c r="O32">
        <f>(16*$K32*$K32)/(Итог!$E$5*Итог!$E$5)</f>
        <v>132.29228961027317</v>
      </c>
    </row>
    <row r="33" spans="1:15" x14ac:dyDescent="0.25">
      <c r="O33">
        <f>SUM(O2:O32)</f>
        <v>4223.9746927392971</v>
      </c>
    </row>
    <row r="35" spans="1:15" x14ac:dyDescent="0.25">
      <c r="A35" s="16" t="s">
        <v>45</v>
      </c>
      <c r="B35" s="16"/>
      <c r="C35" s="16"/>
    </row>
    <row r="36" spans="1:15" x14ac:dyDescent="0.25">
      <c r="A36" s="16"/>
      <c r="B36" s="16"/>
      <c r="C36" s="16"/>
    </row>
    <row r="37" spans="1:15" x14ac:dyDescent="0.25">
      <c r="A37" s="16"/>
      <c r="B37" s="16"/>
      <c r="C37" s="16"/>
    </row>
    <row r="38" spans="1:15" x14ac:dyDescent="0.25">
      <c r="A38" s="16"/>
      <c r="B38" s="16"/>
      <c r="C38" s="16"/>
    </row>
    <row r="39" spans="1:15" x14ac:dyDescent="0.25">
      <c r="A39" s="16"/>
      <c r="B39" s="16"/>
      <c r="C39" s="16"/>
    </row>
    <row r="40" spans="1:15" x14ac:dyDescent="0.25">
      <c r="A40" s="16"/>
      <c r="B40" s="16"/>
      <c r="C40" s="16"/>
    </row>
  </sheetData>
  <mergeCells count="1">
    <mergeCell ref="A35:C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</vt:lpstr>
      <vt:lpstr>positive</vt:lpstr>
      <vt:lpstr>negative</vt:lpstr>
      <vt:lpstr>neutral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Роман Казаков</cp:lastModifiedBy>
  <dcterms:created xsi:type="dcterms:W3CDTF">2025-12-02T13:09:35Z</dcterms:created>
  <dcterms:modified xsi:type="dcterms:W3CDTF">2025-12-02T16:04:49Z</dcterms:modified>
</cp:coreProperties>
</file>